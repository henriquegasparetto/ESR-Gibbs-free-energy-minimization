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henrique/Desktop/UFSM/Tese/UFSM/Artigos/Artigo 03 - ESR with EGR/Arquivos/Tudo/EGR/1 bar, nN2 = 0, all carbon, H2O:ethanol = 3/"/>
    </mc:Choice>
  </mc:AlternateContent>
  <xr:revisionPtr revIDLastSave="0" documentId="13_ncr:1_{B8F6E48D-34E9-9B48-95C7-6D686D6C1EF9}" xr6:coauthVersionLast="47" xr6:coauthVersionMax="47" xr10:uidLastSave="{00000000-0000-0000-0000-000000000000}"/>
  <bookViews>
    <workbookView xWindow="180" yWindow="1060" windowWidth="14040" windowHeight="15100" xr2:uid="{00000000-000D-0000-FFFF-FFFF00000000}"/>
  </bookViews>
  <sheets>
    <sheet name="summary" sheetId="7" r:id="rId1"/>
    <sheet name="in" sheetId="4" r:id="rId2"/>
    <sheet name="ou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" i="7" l="1"/>
  <c r="D18" i="7"/>
  <c r="C18" i="7"/>
  <c r="E17" i="7"/>
  <c r="D17" i="7"/>
  <c r="C17" i="7"/>
  <c r="M18" i="7"/>
  <c r="L18" i="7"/>
  <c r="K18" i="7"/>
  <c r="I18" i="7"/>
  <c r="M17" i="7"/>
  <c r="L17" i="7"/>
  <c r="K17" i="7"/>
  <c r="I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E16" i="7"/>
  <c r="D16" i="7"/>
  <c r="C16" i="7"/>
  <c r="L15" i="7"/>
  <c r="K15" i="7"/>
  <c r="E15" i="7"/>
  <c r="D15" i="7"/>
  <c r="C15" i="7"/>
  <c r="L14" i="7"/>
  <c r="K14" i="7"/>
  <c r="E14" i="7"/>
  <c r="D14" i="7"/>
  <c r="C14" i="7"/>
  <c r="I5" i="7"/>
  <c r="L4" i="7"/>
  <c r="K4" i="7"/>
  <c r="I4" i="7"/>
</calcChain>
</file>

<file path=xl/sharedStrings.xml><?xml version="1.0" encoding="utf-8"?>
<sst xmlns="http://schemas.openxmlformats.org/spreadsheetml/2006/main" count="77" uniqueCount="37">
  <si>
    <t>Specie</t>
  </si>
  <si>
    <t>w</t>
  </si>
  <si>
    <t>Tc_K</t>
  </si>
  <si>
    <t>Pc_bar</t>
  </si>
  <si>
    <t>C</t>
  </si>
  <si>
    <t>H</t>
  </si>
  <si>
    <t>O</t>
  </si>
  <si>
    <t>CpD</t>
  </si>
  <si>
    <t>CpC</t>
  </si>
  <si>
    <t>CpB</t>
  </si>
  <si>
    <t>CpA</t>
  </si>
  <si>
    <t>Hf</t>
  </si>
  <si>
    <t>Gf</t>
  </si>
  <si>
    <t>CpE</t>
  </si>
  <si>
    <t>Ethanol</t>
  </si>
  <si>
    <t>Water</t>
  </si>
  <si>
    <t>Carbon dioxide</t>
  </si>
  <si>
    <t>Hydrogen</t>
  </si>
  <si>
    <t>Carbon monoxide</t>
  </si>
  <si>
    <t>Methane</t>
  </si>
  <si>
    <t>Ethane</t>
  </si>
  <si>
    <t>Ethylene</t>
  </si>
  <si>
    <t>Acetaldehyde</t>
  </si>
  <si>
    <t>Acetona</t>
  </si>
  <si>
    <t>Diethyl ether</t>
  </si>
  <si>
    <t>Oxygen</t>
  </si>
  <si>
    <t>Cgr</t>
  </si>
  <si>
    <t>Methanol</t>
  </si>
  <si>
    <t>Acetic acid</t>
  </si>
  <si>
    <t>N2</t>
  </si>
  <si>
    <t>Zc</t>
  </si>
  <si>
    <t>Vm_m3_mol</t>
  </si>
  <si>
    <t>N</t>
  </si>
  <si>
    <t xml:space="preserve">Ethylene </t>
  </si>
  <si>
    <t xml:space="preserve">Acetaldehyde </t>
  </si>
  <si>
    <t>Acetylene</t>
  </si>
  <si>
    <t>Ethyl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</si>
</sst>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1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Normal="100" workbookViewId="0">
      <selection activeCell="G19" sqref="G19"/>
    </sheetView>
  </sheetViews>
  <sheetFormatPr baseColWidth="10" defaultColWidth="11.5" defaultRowHeight="15" x14ac:dyDescent="0.2"/>
  <cols>
    <col min="1" max="1" width="23" bestFit="1" customWidth="1"/>
    <col min="2" max="2" width="7.6640625" customWidth="1"/>
    <col min="3" max="4" width="11" bestFit="1" customWidth="1"/>
    <col min="5" max="10" width="11" customWidth="1"/>
    <col min="11" max="11" width="12.6640625" bestFit="1" customWidth="1"/>
    <col min="12" max="12" width="14.83203125" bestFit="1" customWidth="1"/>
    <col min="13" max="13" width="12.1640625" bestFit="1" customWidth="1"/>
  </cols>
  <sheetData>
    <row r="1" spans="1:13" x14ac:dyDescent="0.2">
      <c r="A1" t="s">
        <v>0</v>
      </c>
      <c r="B1" t="s">
        <v>30</v>
      </c>
      <c r="C1" t="s">
        <v>10</v>
      </c>
      <c r="D1" t="s">
        <v>9</v>
      </c>
      <c r="E1" t="s">
        <v>8</v>
      </c>
      <c r="F1" t="s">
        <v>7</v>
      </c>
      <c r="G1" t="s">
        <v>13</v>
      </c>
      <c r="H1" t="s">
        <v>2</v>
      </c>
      <c r="I1" t="s">
        <v>3</v>
      </c>
      <c r="J1" t="s">
        <v>1</v>
      </c>
      <c r="K1" t="s">
        <v>11</v>
      </c>
      <c r="L1" t="s">
        <v>12</v>
      </c>
      <c r="M1" t="s">
        <v>31</v>
      </c>
    </row>
    <row r="2" spans="1:13" x14ac:dyDescent="0.2">
      <c r="A2" t="s">
        <v>14</v>
      </c>
      <c r="B2" s="4">
        <v>0.24099999999999999</v>
      </c>
      <c r="C2" s="1">
        <v>-0.69687251040763998</v>
      </c>
      <c r="D2" s="1">
        <v>6.8026375460534999E-2</v>
      </c>
      <c r="E2" s="1">
        <v>-5.2972357076000001E-5</v>
      </c>
      <c r="F2" s="1">
        <v>2.5593712999999999E-8</v>
      </c>
      <c r="G2" s="1">
        <v>-5.8149999999999998E-12</v>
      </c>
      <c r="H2" s="3">
        <v>514</v>
      </c>
      <c r="I2" s="3">
        <v>61.37</v>
      </c>
      <c r="J2" s="5">
        <v>0.64355799999999996</v>
      </c>
      <c r="K2" s="6">
        <v>-56154</v>
      </c>
      <c r="L2" s="6">
        <v>-40117</v>
      </c>
      <c r="M2" s="1">
        <f>0.168/1000</f>
        <v>1.6800000000000002E-4</v>
      </c>
    </row>
    <row r="3" spans="1:13" x14ac:dyDescent="0.2">
      <c r="A3" t="s">
        <v>15</v>
      </c>
      <c r="B3" s="2">
        <v>0.22900000000000001</v>
      </c>
      <c r="C3" s="1">
        <v>8.0112818622795796</v>
      </c>
      <c r="D3" s="1">
        <v>-1.7721373675999999E-3</v>
      </c>
      <c r="E3" s="1">
        <v>7.3729031339999999E-6</v>
      </c>
      <c r="F3" s="1">
        <v>-5.0508990000000001E-9</v>
      </c>
      <c r="G3" s="1">
        <v>1.2979999999999999E-12</v>
      </c>
      <c r="H3" s="3">
        <v>647.096</v>
      </c>
      <c r="I3" s="3">
        <v>220.64</v>
      </c>
      <c r="J3" s="5">
        <v>0.34486099999999997</v>
      </c>
      <c r="K3" s="6">
        <v>-57796</v>
      </c>
      <c r="L3" s="6">
        <v>-54630</v>
      </c>
      <c r="M3" s="1">
        <f>0.0559472/1000</f>
        <v>5.5947200000000005E-5</v>
      </c>
    </row>
    <row r="4" spans="1:13" x14ac:dyDescent="0.2">
      <c r="A4" t="s">
        <v>16</v>
      </c>
      <c r="B4" s="2">
        <v>0.27400000000000002</v>
      </c>
      <c r="C4" s="1">
        <v>3.7099421994525401</v>
      </c>
      <c r="D4" s="1">
        <v>2.5546225662756002E-2</v>
      </c>
      <c r="E4" s="1">
        <v>-3.3500022297000002E-5</v>
      </c>
      <c r="F4" s="1">
        <v>2.4095745000000001E-8</v>
      </c>
      <c r="G4" s="1">
        <v>-6.8979999999999999E-12</v>
      </c>
      <c r="H4" s="3">
        <v>304.20999999999998</v>
      </c>
      <c r="I4" s="3">
        <f>7383000/100000</f>
        <v>73.83</v>
      </c>
      <c r="J4" s="5">
        <v>0.22362099999999999</v>
      </c>
      <c r="K4" s="6">
        <f>-393510000/1000/4.184</f>
        <v>-94051.147227533453</v>
      </c>
      <c r="L4" s="6">
        <f>-394370000/1000/4.184</f>
        <v>-94256.692160611856</v>
      </c>
      <c r="M4" s="1">
        <f>0.094/1000</f>
        <v>9.3999999999999994E-5</v>
      </c>
    </row>
    <row r="5" spans="1:13" x14ac:dyDescent="0.2">
      <c r="A5" t="s">
        <v>17</v>
      </c>
      <c r="B5" s="2">
        <v>0.30499999999999999</v>
      </c>
      <c r="C5" s="1">
        <v>5.7557145910733398</v>
      </c>
      <c r="D5" s="1">
        <v>7.2469234601029997E-3</v>
      </c>
      <c r="E5" s="1">
        <v>-1.5344184310999999E-5</v>
      </c>
      <c r="F5" s="1">
        <v>1.3819683999999999E-8</v>
      </c>
      <c r="G5" s="1">
        <v>-4.2570000000000001E-12</v>
      </c>
      <c r="H5" s="3">
        <v>33.19</v>
      </c>
      <c r="I5" s="3">
        <f>1313000/100000</f>
        <v>13.13</v>
      </c>
      <c r="J5" s="5">
        <v>-0.21599299999999999</v>
      </c>
      <c r="K5" s="6">
        <v>0</v>
      </c>
      <c r="L5" s="6">
        <v>0</v>
      </c>
      <c r="M5" s="1">
        <f>0.064147/1000</f>
        <v>6.4146999999999994E-5</v>
      </c>
    </row>
    <row r="6" spans="1:13" x14ac:dyDescent="0.2">
      <c r="A6" t="s">
        <v>18</v>
      </c>
      <c r="B6" s="2">
        <v>0.29899999999999999</v>
      </c>
      <c r="C6" s="1">
        <v>7.6508900366316803</v>
      </c>
      <c r="D6" s="1">
        <v>-5.1827552866240004E-3</v>
      </c>
      <c r="E6" s="1">
        <v>1.2213830801E-5</v>
      </c>
      <c r="F6" s="1">
        <v>-9.1031350000000005E-9</v>
      </c>
      <c r="G6" s="1">
        <v>2.3530000000000002E-12</v>
      </c>
      <c r="H6" s="3">
        <v>132.91999999999999</v>
      </c>
      <c r="I6" s="3">
        <v>34.99</v>
      </c>
      <c r="J6" s="5">
        <v>4.8162099999999999E-2</v>
      </c>
      <c r="K6" s="6">
        <v>-26417</v>
      </c>
      <c r="L6" s="6">
        <v>-32780</v>
      </c>
      <c r="M6" s="1">
        <f>0.0944/1000</f>
        <v>9.4400000000000004E-5</v>
      </c>
    </row>
    <row r="7" spans="1:13" x14ac:dyDescent="0.2">
      <c r="A7" t="s">
        <v>19</v>
      </c>
      <c r="B7" s="2">
        <v>0.28599999999999998</v>
      </c>
      <c r="C7" s="1">
        <v>6.8621825589034602</v>
      </c>
      <c r="D7" s="1">
        <v>-3.0350749713219998E-3</v>
      </c>
      <c r="E7" s="1">
        <v>3.7477996525999998E-5</v>
      </c>
      <c r="F7" s="1">
        <v>-3.3642774E-8</v>
      </c>
      <c r="G7" s="1">
        <v>9.7349999999999992E-12</v>
      </c>
      <c r="H7" s="3">
        <v>190.56399999999999</v>
      </c>
      <c r="I7" s="3">
        <v>45.99</v>
      </c>
      <c r="J7" s="5">
        <v>1.15478E-2</v>
      </c>
      <c r="K7" s="6">
        <v>-17811</v>
      </c>
      <c r="L7" s="6">
        <v>-12067</v>
      </c>
      <c r="M7" s="1">
        <f>0.0986/1000</f>
        <v>9.8599999999999998E-5</v>
      </c>
    </row>
    <row r="8" spans="1:13" x14ac:dyDescent="0.2">
      <c r="A8" t="s">
        <v>20</v>
      </c>
      <c r="B8" s="2">
        <v>0.27900000000000003</v>
      </c>
      <c r="C8" s="1">
        <v>1.4885098703230799</v>
      </c>
      <c r="D8" s="1">
        <v>3.9366820142234998E-2</v>
      </c>
      <c r="E8" s="1">
        <v>-6.4650727670000002E-6</v>
      </c>
      <c r="F8" s="1">
        <v>-9.363423E-9</v>
      </c>
      <c r="G8" s="1">
        <v>4.2520000000000001E-12</v>
      </c>
      <c r="H8" s="3">
        <v>305.32</v>
      </c>
      <c r="I8" s="3">
        <v>48.72</v>
      </c>
      <c r="J8" s="5">
        <v>9.9492999999999998E-2</v>
      </c>
      <c r="K8" s="6">
        <v>-20033</v>
      </c>
      <c r="L8" s="6">
        <v>-7629.1</v>
      </c>
      <c r="M8" s="1">
        <f>0.1455/1000</f>
        <v>1.4549999999999999E-4</v>
      </c>
    </row>
    <row r="9" spans="1:13" x14ac:dyDescent="0.2">
      <c r="A9" t="s">
        <v>33</v>
      </c>
      <c r="B9" s="2">
        <v>0.28100000000000003</v>
      </c>
      <c r="C9" s="1">
        <v>1.7557030350051499</v>
      </c>
      <c r="D9" s="1">
        <v>3.0965333231300001E-2</v>
      </c>
      <c r="E9" s="1">
        <v>-7.0502449999999996E-6</v>
      </c>
      <c r="F9" s="1">
        <v>-5.6290549999999996E-9</v>
      </c>
      <c r="G9" s="1">
        <v>2.6120000000000002E-12</v>
      </c>
      <c r="H9" s="3">
        <v>282.33999999999997</v>
      </c>
      <c r="I9" s="3">
        <v>50.41</v>
      </c>
      <c r="J9" s="5">
        <v>8.6248400000000003E-2</v>
      </c>
      <c r="K9" s="6">
        <v>12550</v>
      </c>
      <c r="L9" s="6">
        <v>16358</v>
      </c>
      <c r="M9" s="1">
        <f>0.131/1000</f>
        <v>1.3100000000000001E-4</v>
      </c>
    </row>
    <row r="10" spans="1:13" x14ac:dyDescent="0.2">
      <c r="A10" t="s">
        <v>34</v>
      </c>
      <c r="B10" s="2">
        <v>0.221</v>
      </c>
      <c r="C10" s="1">
        <v>3.5574150818213202</v>
      </c>
      <c r="D10" s="1">
        <v>3.5627904930691998E-2</v>
      </c>
      <c r="E10" s="1">
        <v>-1.2023021948E-5</v>
      </c>
      <c r="F10" s="1">
        <v>-1.090894E-9</v>
      </c>
      <c r="G10" s="1">
        <v>8.3E-13</v>
      </c>
      <c r="H10" s="3">
        <v>466</v>
      </c>
      <c r="I10" s="3">
        <v>55.7</v>
      </c>
      <c r="J10" s="5">
        <v>0.26249299999999998</v>
      </c>
      <c r="K10" s="6">
        <v>-40870</v>
      </c>
      <c r="L10" s="6">
        <v>-32935</v>
      </c>
      <c r="M10" s="1">
        <f>0.154/1000</f>
        <v>1.54E-4</v>
      </c>
    </row>
    <row r="11" spans="1:13" x14ac:dyDescent="0.2">
      <c r="A11" t="s">
        <v>23</v>
      </c>
      <c r="B11" s="2">
        <v>0.23699999999999999</v>
      </c>
      <c r="C11" s="1">
        <v>-4.6112989826526301</v>
      </c>
      <c r="D11" s="1">
        <v>0.108153467363467</v>
      </c>
      <c r="E11" s="1">
        <v>-1.3198524369899999E-4</v>
      </c>
      <c r="F11" s="1">
        <v>9.5100936000000005E-8</v>
      </c>
      <c r="G11" s="1">
        <v>-2.7626999999999999E-11</v>
      </c>
      <c r="H11" s="3">
        <v>508.1</v>
      </c>
      <c r="I11" s="3">
        <v>47</v>
      </c>
      <c r="J11" s="5">
        <v>0.30693599999999999</v>
      </c>
      <c r="K11" s="6">
        <v>-51554</v>
      </c>
      <c r="L11" s="6">
        <v>-36162</v>
      </c>
      <c r="M11" s="1">
        <f>0.213/1000</f>
        <v>2.13E-4</v>
      </c>
    </row>
    <row r="12" spans="1:13" x14ac:dyDescent="0.2">
      <c r="A12" t="s">
        <v>24</v>
      </c>
      <c r="B12" s="2">
        <v>0.26300000000000001</v>
      </c>
      <c r="C12" s="1">
        <v>5.7791619939177901</v>
      </c>
      <c r="D12" s="1">
        <v>7.6830394258117995E-2</v>
      </c>
      <c r="E12" s="1">
        <v>-2.3576320710000001E-6</v>
      </c>
      <c r="F12" s="1">
        <v>-3.5701477999999997E-8</v>
      </c>
      <c r="G12" s="1">
        <v>1.5545E-11</v>
      </c>
      <c r="H12" s="3">
        <v>466.7</v>
      </c>
      <c r="I12" s="3">
        <v>36.4</v>
      </c>
      <c r="J12" s="5">
        <v>0.28106500000000001</v>
      </c>
      <c r="K12" s="6">
        <v>-60253</v>
      </c>
      <c r="L12" s="6">
        <v>-29183</v>
      </c>
      <c r="M12" s="1">
        <f>0.28/1000</f>
        <v>2.8000000000000003E-4</v>
      </c>
    </row>
    <row r="13" spans="1:13" x14ac:dyDescent="0.2">
      <c r="A13" t="s">
        <v>25</v>
      </c>
      <c r="B13" s="2">
        <v>0.28799999999999998</v>
      </c>
      <c r="C13" s="1">
        <v>7.1236421800859704</v>
      </c>
      <c r="D13" s="1">
        <v>-3.3279627228649999E-3</v>
      </c>
      <c r="E13" s="1">
        <v>1.3184114646000001E-5</v>
      </c>
      <c r="F13" s="1">
        <v>-1.2599899E-8</v>
      </c>
      <c r="G13" s="1">
        <v>3.9509999999999996E-12</v>
      </c>
      <c r="H13" s="3">
        <v>154.58000000000001</v>
      </c>
      <c r="I13" s="3">
        <v>50.43</v>
      </c>
      <c r="J13" s="5">
        <v>2.21798E-2</v>
      </c>
      <c r="K13" s="6">
        <v>0</v>
      </c>
      <c r="L13" s="6">
        <v>0</v>
      </c>
      <c r="M13" s="1">
        <f>0.0734/1000</f>
        <v>7.3400000000000009E-5</v>
      </c>
    </row>
    <row r="14" spans="1:13" x14ac:dyDescent="0.2">
      <c r="A14" t="s">
        <v>27</v>
      </c>
      <c r="B14" s="2">
        <v>0.222</v>
      </c>
      <c r="C14" s="1">
        <f>3.3778738386567</f>
        <v>3.3778738386567002</v>
      </c>
      <c r="D14" s="1">
        <f>0.025679775694334</f>
        <v>2.5679775694333998E-2</v>
      </c>
      <c r="E14" s="1">
        <f>-0.000007633991913</f>
        <v>-7.6339919130000007E-6</v>
      </c>
      <c r="F14" s="1">
        <v>0</v>
      </c>
      <c r="G14" s="1">
        <v>0</v>
      </c>
      <c r="H14" s="3">
        <v>512.5</v>
      </c>
      <c r="I14" s="3">
        <v>80.84</v>
      </c>
      <c r="J14" s="5">
        <v>0.56583099999999997</v>
      </c>
      <c r="K14" s="6">
        <f>(-239100000/1000)/4.184</f>
        <v>-57146.27151051625</v>
      </c>
      <c r="L14" s="6">
        <f>(-166900000/1000)/4.184</f>
        <v>-39890.057361376668</v>
      </c>
      <c r="M14" s="1">
        <f>0.117/1000</f>
        <v>1.1700000000000001E-4</v>
      </c>
    </row>
    <row r="15" spans="1:13" x14ac:dyDescent="0.2">
      <c r="A15" t="s">
        <v>28</v>
      </c>
      <c r="B15" s="2">
        <v>0.20799999999999999</v>
      </c>
      <c r="C15" s="1">
        <f>1.82530107526882</f>
        <v>1.8253010752688199</v>
      </c>
      <c r="D15" s="1">
        <f>0.050666559316348</f>
        <v>5.0666559316348003E-2</v>
      </c>
      <c r="E15" s="1">
        <f>-0.000019211639035</f>
        <v>-1.9211639034999999E-5</v>
      </c>
      <c r="F15" s="1">
        <v>0</v>
      </c>
      <c r="G15" s="1">
        <v>0</v>
      </c>
      <c r="H15" s="3">
        <v>591.95000000000005</v>
      </c>
      <c r="I15" s="3">
        <v>57.86</v>
      </c>
      <c r="J15" s="5">
        <v>0.46652100000000002</v>
      </c>
      <c r="K15" s="6">
        <f>(-484500000/1000)/4.184</f>
        <v>-115798.27915869981</v>
      </c>
      <c r="L15" s="6">
        <f>(-389000000/1000)/4.184</f>
        <v>-92973.231357552577</v>
      </c>
      <c r="M15" s="1">
        <f>0.05763/1000</f>
        <v>5.7630000000000002E-5</v>
      </c>
    </row>
    <row r="16" spans="1:13" x14ac:dyDescent="0.2">
      <c r="A16" t="s">
        <v>29</v>
      </c>
      <c r="B16" s="2">
        <v>0.28899999999999998</v>
      </c>
      <c r="C16" s="1">
        <f>6.82229997669367</f>
        <v>6.8222999766936701</v>
      </c>
      <c r="D16" s="1">
        <f>0.000052134343274</f>
        <v>5.2134343273999997E-5</v>
      </c>
      <c r="E16" s="1">
        <f>0.000000977385102</f>
        <v>9.7738510199999991E-7</v>
      </c>
      <c r="F16" s="1">
        <v>0</v>
      </c>
      <c r="G16" s="1">
        <v>0</v>
      </c>
      <c r="H16" s="3">
        <v>126.2</v>
      </c>
      <c r="I16" s="3">
        <v>34</v>
      </c>
      <c r="J16" s="5">
        <v>3.7721499999999998E-2</v>
      </c>
      <c r="K16" s="6">
        <v>0</v>
      </c>
      <c r="L16" s="6">
        <v>0</v>
      </c>
      <c r="M16" s="1">
        <f>0.08921/1000</f>
        <v>8.9209999999999995E-5</v>
      </c>
    </row>
    <row r="17" spans="1:13" x14ac:dyDescent="0.2">
      <c r="A17" t="s">
        <v>35</v>
      </c>
      <c r="B17" s="2">
        <v>0.26800000000000002</v>
      </c>
      <c r="C17" s="1">
        <f>6.20504841358122</f>
        <v>6.2050484135812196</v>
      </c>
      <c r="D17" s="1">
        <f>0.017410939844978</f>
        <v>1.7410939844978001E-2</v>
      </c>
      <c r="E17" s="1">
        <f>-0.000007750438759</f>
        <v>-7.750438759E-6</v>
      </c>
      <c r="F17" s="1">
        <v>0</v>
      </c>
      <c r="G17" s="1">
        <v>0</v>
      </c>
      <c r="H17" s="3">
        <v>308.3</v>
      </c>
      <c r="I17" s="3">
        <f>6138000/100000</f>
        <v>61.38</v>
      </c>
      <c r="J17" s="5">
        <v>0.19118499999999999</v>
      </c>
      <c r="K17" s="6">
        <f>(228200000/1000)/4.184</f>
        <v>54541.108986615676</v>
      </c>
      <c r="L17" s="6">
        <f>(210680000/1000)/4.184</f>
        <v>50353.728489483743</v>
      </c>
      <c r="M17" s="1">
        <f>0.112/1000</f>
        <v>1.12E-4</v>
      </c>
    </row>
    <row r="18" spans="1:13" x14ac:dyDescent="0.2">
      <c r="A18" t="s">
        <v>36</v>
      </c>
      <c r="B18" s="2">
        <v>0.255</v>
      </c>
      <c r="C18" s="1">
        <f>3.82159372848141</f>
        <v>3.8215937284814099</v>
      </c>
      <c r="D18" s="1">
        <f>0.0872594441796</f>
        <v>8.7259444179599993E-2</v>
      </c>
      <c r="E18" s="1">
        <f>-0.000035207302647</f>
        <v>-3.5207302647000001E-5</v>
      </c>
      <c r="F18" s="1">
        <v>0</v>
      </c>
      <c r="G18" s="1">
        <v>0</v>
      </c>
      <c r="H18" s="3">
        <v>523.29999999999995</v>
      </c>
      <c r="I18" s="3">
        <f>3880000/100000</f>
        <v>38.799999999999997</v>
      </c>
      <c r="J18" s="5">
        <v>0.36640899999999998</v>
      </c>
      <c r="K18" s="6">
        <f>(-478800000/1000)/4.184</f>
        <v>-114435.9464627151</v>
      </c>
      <c r="L18" s="6">
        <f>(-332400000/1000)/4.184</f>
        <v>-79445.506692160605</v>
      </c>
      <c r="M18" s="1">
        <f>0.286/1000</f>
        <v>2.8599999999999996E-4</v>
      </c>
    </row>
    <row r="19" spans="1:13" x14ac:dyDescent="0.2">
      <c r="A19" t="s">
        <v>26</v>
      </c>
      <c r="B19" s="2"/>
      <c r="C19" s="1">
        <v>-2.5485189121750702</v>
      </c>
      <c r="D19" s="1">
        <v>2.4576879937158999E-2</v>
      </c>
      <c r="E19" s="1">
        <v>-3.6843788085000002E-5</v>
      </c>
      <c r="F19" s="1">
        <v>2.7862026E-8</v>
      </c>
      <c r="G19" s="1">
        <v>-7.8699999999999994E-12</v>
      </c>
      <c r="K19" s="6">
        <v>0</v>
      </c>
      <c r="L19" s="6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E19" sqref="E19"/>
    </sheetView>
  </sheetViews>
  <sheetFormatPr baseColWidth="10" defaultColWidth="11.5" defaultRowHeight="15" x14ac:dyDescent="0.2"/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32</v>
      </c>
    </row>
    <row r="2" spans="1:5" x14ac:dyDescent="0.2">
      <c r="A2" t="s">
        <v>14</v>
      </c>
      <c r="B2">
        <v>2</v>
      </c>
      <c r="C2">
        <v>6</v>
      </c>
      <c r="D2">
        <v>1</v>
      </c>
      <c r="E2">
        <v>0</v>
      </c>
    </row>
    <row r="3" spans="1:5" x14ac:dyDescent="0.2">
      <c r="A3" t="s">
        <v>15</v>
      </c>
      <c r="B3">
        <v>0</v>
      </c>
      <c r="C3">
        <v>2</v>
      </c>
      <c r="D3">
        <v>1</v>
      </c>
      <c r="E3">
        <v>0</v>
      </c>
    </row>
    <row r="4" spans="1:5" x14ac:dyDescent="0.2">
      <c r="A4" t="s">
        <v>16</v>
      </c>
      <c r="B4">
        <v>0</v>
      </c>
      <c r="C4">
        <v>0</v>
      </c>
      <c r="D4">
        <v>0</v>
      </c>
      <c r="E4">
        <v>0</v>
      </c>
    </row>
    <row r="5" spans="1:5" x14ac:dyDescent="0.2">
      <c r="A5" t="s">
        <v>17</v>
      </c>
      <c r="B5">
        <v>0</v>
      </c>
      <c r="C5">
        <v>0</v>
      </c>
      <c r="D5">
        <v>0</v>
      </c>
      <c r="E5">
        <v>0</v>
      </c>
    </row>
    <row r="6" spans="1:5" x14ac:dyDescent="0.2">
      <c r="A6" t="s">
        <v>18</v>
      </c>
      <c r="B6">
        <v>0</v>
      </c>
      <c r="C6">
        <v>0</v>
      </c>
      <c r="D6">
        <v>0</v>
      </c>
      <c r="E6">
        <v>0</v>
      </c>
    </row>
    <row r="7" spans="1:5" x14ac:dyDescent="0.2">
      <c r="A7" t="s">
        <v>19</v>
      </c>
      <c r="B7">
        <v>0</v>
      </c>
      <c r="C7">
        <v>0</v>
      </c>
      <c r="D7">
        <v>0</v>
      </c>
      <c r="E7">
        <v>0</v>
      </c>
    </row>
    <row r="8" spans="1:5" x14ac:dyDescent="0.2">
      <c r="A8" t="s">
        <v>20</v>
      </c>
      <c r="B8">
        <v>0</v>
      </c>
      <c r="C8">
        <v>0</v>
      </c>
      <c r="D8">
        <v>0</v>
      </c>
      <c r="E8">
        <v>0</v>
      </c>
    </row>
    <row r="9" spans="1:5" x14ac:dyDescent="0.2">
      <c r="A9" t="s">
        <v>21</v>
      </c>
      <c r="B9">
        <v>0</v>
      </c>
      <c r="C9">
        <v>0</v>
      </c>
      <c r="D9">
        <v>0</v>
      </c>
      <c r="E9">
        <v>0</v>
      </c>
    </row>
    <row r="10" spans="1:5" x14ac:dyDescent="0.2">
      <c r="A10" t="s">
        <v>22</v>
      </c>
      <c r="B10">
        <v>0</v>
      </c>
      <c r="C10">
        <v>0</v>
      </c>
      <c r="D10">
        <v>0</v>
      </c>
      <c r="E10">
        <v>0</v>
      </c>
    </row>
    <row r="11" spans="1:5" x14ac:dyDescent="0.2">
      <c r="A11" t="s">
        <v>23</v>
      </c>
      <c r="B11">
        <v>0</v>
      </c>
      <c r="C11">
        <v>0</v>
      </c>
      <c r="D11">
        <v>0</v>
      </c>
      <c r="E11">
        <v>0</v>
      </c>
    </row>
    <row r="12" spans="1:5" x14ac:dyDescent="0.2">
      <c r="A12" t="s">
        <v>24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25</v>
      </c>
      <c r="B13">
        <v>0</v>
      </c>
      <c r="C13">
        <v>0</v>
      </c>
      <c r="D13">
        <v>2</v>
      </c>
      <c r="E13">
        <v>0</v>
      </c>
    </row>
    <row r="14" spans="1:5" x14ac:dyDescent="0.2">
      <c r="A14" t="s">
        <v>27</v>
      </c>
      <c r="B14">
        <v>0</v>
      </c>
      <c r="C14">
        <v>0</v>
      </c>
      <c r="D14">
        <v>0</v>
      </c>
      <c r="E14">
        <v>0</v>
      </c>
    </row>
    <row r="15" spans="1:5" x14ac:dyDescent="0.2">
      <c r="A15" t="s">
        <v>28</v>
      </c>
      <c r="B15">
        <v>0</v>
      </c>
      <c r="C15">
        <v>0</v>
      </c>
      <c r="D15">
        <v>0</v>
      </c>
      <c r="E15">
        <v>0</v>
      </c>
    </row>
    <row r="16" spans="1:5" x14ac:dyDescent="0.2">
      <c r="A16" t="s">
        <v>29</v>
      </c>
      <c r="B16">
        <v>0</v>
      </c>
      <c r="C16">
        <v>0</v>
      </c>
      <c r="D16">
        <v>0</v>
      </c>
      <c r="E16">
        <v>2</v>
      </c>
    </row>
    <row r="17" spans="1:5" x14ac:dyDescent="0.2">
      <c r="A17" t="s">
        <v>35</v>
      </c>
      <c r="B17">
        <v>0</v>
      </c>
      <c r="C17">
        <v>0</v>
      </c>
      <c r="D17">
        <v>0</v>
      </c>
      <c r="E17">
        <v>0</v>
      </c>
    </row>
    <row r="18" spans="1:5" x14ac:dyDescent="0.2">
      <c r="A18" t="s">
        <v>36</v>
      </c>
      <c r="B18">
        <v>0</v>
      </c>
      <c r="C18">
        <v>0</v>
      </c>
      <c r="D18">
        <v>0</v>
      </c>
      <c r="E18">
        <v>0</v>
      </c>
    </row>
    <row r="19" spans="1:5" x14ac:dyDescent="0.2">
      <c r="A19" t="s">
        <v>26</v>
      </c>
      <c r="B19">
        <v>0</v>
      </c>
      <c r="C19">
        <v>0</v>
      </c>
      <c r="D19">
        <v>0</v>
      </c>
      <c r="E19"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E19" sqref="E19"/>
    </sheetView>
  </sheetViews>
  <sheetFormatPr baseColWidth="10" defaultColWidth="11.5" defaultRowHeight="15" x14ac:dyDescent="0.2"/>
  <cols>
    <col min="1" max="1" width="14.6640625" bestFit="1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32</v>
      </c>
    </row>
    <row r="2" spans="1:5" x14ac:dyDescent="0.2">
      <c r="A2" t="s">
        <v>14</v>
      </c>
      <c r="B2">
        <v>2</v>
      </c>
      <c r="C2">
        <v>6</v>
      </c>
      <c r="D2">
        <v>1</v>
      </c>
      <c r="E2">
        <v>0</v>
      </c>
    </row>
    <row r="3" spans="1:5" x14ac:dyDescent="0.2">
      <c r="A3" t="s">
        <v>15</v>
      </c>
      <c r="B3">
        <v>0</v>
      </c>
      <c r="C3">
        <v>2</v>
      </c>
      <c r="D3">
        <v>1</v>
      </c>
      <c r="E3">
        <v>0</v>
      </c>
    </row>
    <row r="4" spans="1:5" x14ac:dyDescent="0.2">
      <c r="A4" t="s">
        <v>16</v>
      </c>
      <c r="B4">
        <v>1</v>
      </c>
      <c r="C4">
        <v>0</v>
      </c>
      <c r="D4">
        <v>2</v>
      </c>
      <c r="E4">
        <v>0</v>
      </c>
    </row>
    <row r="5" spans="1:5" x14ac:dyDescent="0.2">
      <c r="A5" t="s">
        <v>17</v>
      </c>
      <c r="B5">
        <v>0</v>
      </c>
      <c r="C5">
        <v>2</v>
      </c>
      <c r="D5">
        <v>0</v>
      </c>
      <c r="E5">
        <v>0</v>
      </c>
    </row>
    <row r="6" spans="1:5" x14ac:dyDescent="0.2">
      <c r="A6" t="s">
        <v>18</v>
      </c>
      <c r="B6">
        <v>1</v>
      </c>
      <c r="C6">
        <v>0</v>
      </c>
      <c r="D6">
        <v>1</v>
      </c>
      <c r="E6">
        <v>0</v>
      </c>
    </row>
    <row r="7" spans="1:5" x14ac:dyDescent="0.2">
      <c r="A7" t="s">
        <v>19</v>
      </c>
      <c r="B7">
        <v>1</v>
      </c>
      <c r="C7">
        <v>4</v>
      </c>
      <c r="D7">
        <v>0</v>
      </c>
      <c r="E7">
        <v>0</v>
      </c>
    </row>
    <row r="8" spans="1:5" x14ac:dyDescent="0.2">
      <c r="A8" t="s">
        <v>20</v>
      </c>
      <c r="B8">
        <v>2</v>
      </c>
      <c r="C8">
        <v>6</v>
      </c>
      <c r="D8">
        <v>0</v>
      </c>
      <c r="E8">
        <v>0</v>
      </c>
    </row>
    <row r="9" spans="1:5" x14ac:dyDescent="0.2">
      <c r="A9" t="s">
        <v>21</v>
      </c>
      <c r="B9">
        <v>2</v>
      </c>
      <c r="C9">
        <v>4</v>
      </c>
      <c r="D9">
        <v>0</v>
      </c>
      <c r="E9">
        <v>0</v>
      </c>
    </row>
    <row r="10" spans="1:5" x14ac:dyDescent="0.2">
      <c r="A10" t="s">
        <v>22</v>
      </c>
      <c r="B10">
        <v>2</v>
      </c>
      <c r="C10">
        <v>4</v>
      </c>
      <c r="D10">
        <v>1</v>
      </c>
      <c r="E10">
        <v>0</v>
      </c>
    </row>
    <row r="11" spans="1:5" x14ac:dyDescent="0.2">
      <c r="A11" t="s">
        <v>23</v>
      </c>
      <c r="B11">
        <v>3</v>
      </c>
      <c r="C11">
        <v>6</v>
      </c>
      <c r="D11">
        <v>1</v>
      </c>
      <c r="E11">
        <v>0</v>
      </c>
    </row>
    <row r="12" spans="1:5" x14ac:dyDescent="0.2">
      <c r="A12" t="s">
        <v>24</v>
      </c>
      <c r="B12">
        <v>4</v>
      </c>
      <c r="C12">
        <v>10</v>
      </c>
      <c r="D12">
        <v>1</v>
      </c>
      <c r="E12">
        <v>0</v>
      </c>
    </row>
    <row r="13" spans="1:5" x14ac:dyDescent="0.2">
      <c r="A13" t="s">
        <v>25</v>
      </c>
      <c r="B13">
        <v>0</v>
      </c>
      <c r="C13">
        <v>0</v>
      </c>
      <c r="D13">
        <v>2</v>
      </c>
      <c r="E13">
        <v>0</v>
      </c>
    </row>
    <row r="14" spans="1:5" x14ac:dyDescent="0.2">
      <c r="A14" t="s">
        <v>27</v>
      </c>
      <c r="B14">
        <v>1</v>
      </c>
      <c r="C14">
        <v>4</v>
      </c>
      <c r="D14">
        <v>1</v>
      </c>
      <c r="E14">
        <v>0</v>
      </c>
    </row>
    <row r="15" spans="1:5" x14ac:dyDescent="0.2">
      <c r="A15" t="s">
        <v>28</v>
      </c>
      <c r="B15">
        <v>2</v>
      </c>
      <c r="C15">
        <v>4</v>
      </c>
      <c r="D15">
        <v>2</v>
      </c>
      <c r="E15">
        <v>0</v>
      </c>
    </row>
    <row r="16" spans="1:5" x14ac:dyDescent="0.2">
      <c r="A16" t="s">
        <v>29</v>
      </c>
      <c r="B16">
        <v>0</v>
      </c>
      <c r="C16">
        <v>0</v>
      </c>
      <c r="D16">
        <v>0</v>
      </c>
      <c r="E16">
        <v>2</v>
      </c>
    </row>
    <row r="17" spans="1:5" x14ac:dyDescent="0.2">
      <c r="A17" t="s">
        <v>35</v>
      </c>
      <c r="B17">
        <v>2</v>
      </c>
      <c r="C17">
        <v>2</v>
      </c>
      <c r="D17">
        <v>0</v>
      </c>
      <c r="E17">
        <v>0</v>
      </c>
    </row>
    <row r="18" spans="1:5" x14ac:dyDescent="0.2">
      <c r="A18" t="s">
        <v>36</v>
      </c>
      <c r="B18">
        <v>4</v>
      </c>
      <c r="C18">
        <v>8</v>
      </c>
      <c r="D18">
        <v>2</v>
      </c>
      <c r="E18">
        <v>0</v>
      </c>
    </row>
    <row r="19" spans="1:5" x14ac:dyDescent="0.2">
      <c r="A19" t="s">
        <v>26</v>
      </c>
      <c r="B19">
        <v>1</v>
      </c>
      <c r="C19">
        <v>0</v>
      </c>
      <c r="D19">
        <v>0</v>
      </c>
      <c r="E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in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Microsoft Office User</cp:lastModifiedBy>
  <dcterms:created xsi:type="dcterms:W3CDTF">2023-09-04T13:41:04Z</dcterms:created>
  <dcterms:modified xsi:type="dcterms:W3CDTF">2026-02-27T19:24:17Z</dcterms:modified>
</cp:coreProperties>
</file>